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 2026 Daily Log" sheetId="1" state="visible" r:id="rId3"/>
    <sheet name="May Monthly Summary" sheetId="2" state="visible" r:id="rId4"/>
    <sheet name="Driver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<sst xmlns="http://schemas.openxmlformats.org/spreadsheetml/2006/main" count="130" uniqueCount="102">
  <si>
    <t xml:space="preserve">🚗  RIDESHARE EARNINGS TRACKER — MAY 2026</t>
  </si>
  <si>
    <t xml:space="preserve">May 2026  |  01/05/2026 – 31/05/2026</t>
  </si>
  <si>
    <t xml:space="preserve">Blue text = enter your data   |   Teal = Earnings   |   Red = Expenses   |   Green = Net Income</t>
  </si>
  <si>
    <t xml:space="preserve">Date</t>
  </si>
  <si>
    <t xml:space="preserve">Day</t>
  </si>
  <si>
    <t xml:space="preserve">Uber Fares ($)</t>
  </si>
  <si>
    <t xml:space="preserve">Lyft Fares ($)</t>
  </si>
  <si>
    <t xml:space="preserve">Gross Earnings ($)</t>
  </si>
  <si>
    <t xml:space="preserve">Start Odo (km)</t>
  </si>
  <si>
    <t xml:space="preserve">End Odo (km)</t>
  </si>
  <si>
    <t xml:space="preserve">Distance (km)</t>
  </si>
  <si>
    <t xml:space="preserve">Gas ($)</t>
  </si>
  <si>
    <t xml:space="preserve">Car Wash ($)</t>
  </si>
  <si>
    <t xml:space="preserve">Maintenance ($)</t>
  </si>
  <si>
    <t xml:space="preserve">Other Expense ($)</t>
  </si>
  <si>
    <t xml:space="preserve">Total Expense ($)</t>
  </si>
  <si>
    <t xml:space="preserve">Net Income ($)</t>
  </si>
  <si>
    <t xml:space="preserve">Hours Driven</t>
  </si>
  <si>
    <t xml:space="preserve">01/04/2026</t>
  </si>
  <si>
    <t xml:space="preserve">Wednesday</t>
  </si>
  <si>
    <t xml:space="preserve">02/04/2026</t>
  </si>
  <si>
    <t xml:space="preserve">Thursday</t>
  </si>
  <si>
    <t xml:space="preserve">03/04/2026</t>
  </si>
  <si>
    <t xml:space="preserve">Friday</t>
  </si>
  <si>
    <t xml:space="preserve">04/04/2026</t>
  </si>
  <si>
    <t xml:space="preserve">Saturday</t>
  </si>
  <si>
    <t xml:space="preserve">05/04/2026</t>
  </si>
  <si>
    <t xml:space="preserve">Sunday</t>
  </si>
  <si>
    <t xml:space="preserve">06/04/2026</t>
  </si>
  <si>
    <t xml:space="preserve">Monday</t>
  </si>
  <si>
    <t xml:space="preserve">07/04/2026</t>
  </si>
  <si>
    <t xml:space="preserve">Tuesday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</si>
  <si>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</si>
  <si>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</si>
  <si>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</si>
  <si>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</si>
  <si>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</si>
  <si>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</si>
  <si>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</si>
  <si>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</si>
  <si>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</si>
  <si>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</si>
  <si>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</si>
  <si>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</si>
  <si>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</si>
  <si>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</si>
  <si>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</si>
  <si>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</si>
  <si>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</si>
  <si>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</si>
  <si>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</si>
  <si>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</si>
  <si>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</si>
  <si>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</si>
  <si>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</si>
  <si>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MAY TOTALS</t>
  </si>
  <si>
    <t xml:space="preserve">$/Hour</t>
  </si>
  <si>
    <t xml:space="preserve">📅  MAY 2026 — MONTHLY SUMMARY</t>
  </si>
  <si>
    <t xml:space="preserve">EARNINGS</t>
  </si>
  <si>
    <t xml:space="preserve">Uber Fares</t>
  </si>
  <si>
    <t xml:space="preserve">Lyft Fares</t>
  </si>
  <si>
    <t xml:space="preserve">Gross Earnings</t>
  </si>
  <si>
    <t xml:space="preserve">Uber + Lyft (auto from Daily Log)</t>
  </si>
  <si>
    <t xml:space="preserve">──────── EXPENSES ──────────</t>
  </si>
  <si>
    <t xml:space="preserve">Phone &amp; Data Bill</t>
  </si>
  <si>
    <t xml:space="preserve">← Enter monthly phone/data bill here</t>
  </si>
  <si>
    <t xml:space="preserve">Gas</t>
  </si>
  <si>
    <t xml:space="preserve">Auto from Daily Log</t>
  </si>
  <si>
    <t xml:space="preserve">Car Wash</t>
  </si>
  <si>
    <t xml:space="preserve">Maintenance</t>
  </si>
  <si>
    <t xml:space="preserve">Other Expenses</t>
  </si>
  <si>
    <t xml:space="preserve">Monthly Insurance</t>
  </si>
  <si>
    <t xml:space="preserve">← Enter monthly insurance cost</t>
  </si>
  <si>
    <t xml:space="preserve">Car Finance</t>
  </si>
  <si>
    <t xml:space="preserve">← Enter monthly car finance/lease payment</t>
  </si>
  <si>
    <t xml:space="preserve">Total Expenses</t>
  </si>
  <si>
    <t xml:space="preserve">All expenses including insurance &amp; finance</t>
  </si>
  <si>
    <t xml:space="preserve">──────── PERFORMANCE ───────</t>
  </si>
  <si>
    <t xml:space="preserve">Net Income</t>
  </si>
  <si>
    <t xml:space="preserve">Gross − Total Expenses (all deducted)</t>
  </si>
  <si>
    <t xml:space="preserve">Net Income ÷ Hours Driven</t>
  </si>
  <si>
    <t xml:space="preserve">Expense Ratio</t>
  </si>
  <si>
    <t xml:space="preserve">Total Expenses ÷ Gross Earnings</t>
  </si>
  <si>
    <t xml:space="preserve">Distance Driven (km)</t>
  </si>
  <si>
    <t xml:space="preserve">🏆  DRIVER PERFORMANCE DASHBOARD</t>
  </si>
  <si>
    <t xml:space="preserve">May 2026  —  powered by your Daily Log</t>
  </si>
  <si>
    <t xml:space="preserve">Total Gross Earnings</t>
  </si>
  <si>
    <t xml:space="preserve">Total Hours Driven</t>
  </si>
  <si>
    <t xml:space="preserve">Average $/Hour</t>
  </si>
  <si>
    <t xml:space="preserve">Total Trips</t>
  </si>
  <si>
    <t xml:space="preserve">Net Margin</t>
  </si>
  <si>
    <t xml:space="preserve">COLOR LEGEND</t>
  </si>
  <si>
    <t xml:space="preserve">Blue text</t>
  </si>
  <si>
    <t xml:space="preserve">Hardcoded input cells — enter your data here</t>
  </si>
  <si>
    <t xml:space="preserve">Teal shading</t>
  </si>
  <si>
    <t xml:space="preserve">Earnings / Gross totals</t>
  </si>
  <si>
    <t xml:space="preserve">Red shading</t>
  </si>
  <si>
    <t xml:space="preserve">Expense cells</t>
  </si>
  <si>
    <t xml:space="preserve">Green shading</t>
  </si>
  <si>
    <t xml:space="preserve">Net income / profit</t>
  </si>
  <si>
    <t xml:space="preserve">Yellow shading</t>
  </si>
  <si>
    <t xml:space="preserve">Key assumption cells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</si>
</sst>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0"/>
    <numFmt numFmtId="168" formatCode="#,##0.00"/>
    <numFmt numFmtId="169" formatCode="\$#,##0.00"/>
    <numFmt numFmtId="170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44444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b val="true"/>
      <sz val="18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1"/>
      <color rgb="FF33333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1B2A4A"/>
        <bgColor rgb="FF333333"/>
      </patternFill>
    </fill>
    <fill>
      <patternFill patternType="solid">
        <fgColor rgb="FFD6EEF2"/>
        <bgColor rgb="FFD6F2D6"/>
      </patternFill>
    </fill>
    <fill>
      <patternFill patternType="solid">
        <fgColor rgb="FFFFD7D7"/>
        <bgColor rgb="FFD9D9D9"/>
      </patternFill>
    </fill>
    <fill>
      <patternFill patternType="solid">
        <fgColor rgb="FFD6F2D6"/>
        <bgColor rgb="FFD6EEF2"/>
      </patternFill>
    </fill>
    <fill>
      <patternFill patternType="solid">
        <fgColor rgb="FFFFFF99"/>
        <bgColor rgb="FFD6F2D6"/>
      </patternFill>
    </fill>
    <fill>
      <patternFill patternType="solid">
        <fgColor rgb="FFD9D9D9"/>
        <bgColor rgb="FFD6EE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D6EE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2D6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C9A84C"/>
      <rgbColor rgb="FFFF6600"/>
      <rgbColor rgb="FF666666"/>
      <rgbColor rgb="FFAAAAAA"/>
      <rgbColor rgb="FF1B2A4A"/>
      <rgbColor rgb="FF339966"/>
      <rgbColor rgb="FF003300"/>
      <rgbColor rgb="FF444444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3"/>
    <col collapsed="false" customWidth="true" hidden="false" outlineLevel="0" max="13" min="9" style="1" width="12"/>
    <col collapsed="false" customWidth="true" hidden="false" outlineLevel="0" max="14" min="14" style="1" width="14"/>
    <col collapsed="false" customWidth="true" hidden="false" outlineLevel="0" max="15" min="15" style="1" width="13"/>
  </cols>
  <sheetData>
    <row r="1" customFormat="false" ht="30" hidden="false" customHeight="true" outlineLevel="0" collapsed="false">
      <c r="A1" s="2" t="inlineStr">
        <is>
          <t>🚗  RIDESHARE EARNINGS TRACKER — MAY 2026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inlineStr">
        <is>
          <t>May 2026  |  01/05/2026 – 31/05/2026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inlineStr">
        <is>
          <t>Blue text = enter your data   |   Teal = Earnings   |   Red = Expenses   |   Green = Net Income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36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</row>
    <row r="5" customFormat="false" ht="16.5" hidden="false" customHeight="true" outlineLevel="0" collapsed="false">
      <c r="A5" s="6" t="inlineStr">
        <is>
          <t>01/05/2026</t>
        </is>
      </c>
      <c r="B5" s="7" t="inlineStr">
        <is>
          <t>Friday</t>
        </is>
      </c>
      <c r="C5" s="8" t="n">
        <v>0</v>
      </c>
      <c r="D5" s="8" t="n">
        <v>0</v>
      </c>
      <c r="E5" s="9" t="n">
        <f aca="false">C5+D5</f>
        <v>0</v>
      </c>
      <c r="F5" s="10" t="n">
        <v>0</v>
      </c>
      <c r="G5" s="10" t="n">
        <v>0</v>
      </c>
      <c r="H5" s="11" t="n">
        <f aca="false">G5-F5</f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3" t="n">
        <f aca="false">I5+J5+K5+L5</f>
        <v>0</v>
      </c>
      <c r="N5" s="14" t="n">
        <f aca="false">E5-M5</f>
        <v>0</v>
      </c>
      <c r="O5" s="15" t="n">
        <v>0</v>
      </c>
    </row>
    <row r="6" customFormat="false" ht="16.5" hidden="false" customHeight="true" outlineLevel="0" collapsed="false">
      <c r="A6" s="6" t="inlineStr">
        <is>
          <t>02/05/2026</t>
        </is>
      </c>
      <c r="B6" s="7" t="inlineStr">
        <is>
          <t>Saturday</t>
        </is>
      </c>
      <c r="C6" s="8" t="n">
        <v>0</v>
      </c>
      <c r="D6" s="8" t="n">
        <v>0</v>
      </c>
      <c r="E6" s="9" t="n">
        <f aca="false">C6+D6</f>
        <v>0</v>
      </c>
      <c r="F6" s="10" t="n">
        <v>0</v>
      </c>
      <c r="G6" s="10" t="n">
        <v>0</v>
      </c>
      <c r="H6" s="11" t="n">
        <f aca="false">G6-F6</f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3" t="n">
        <f aca="false">I6+J6+K6+L6</f>
        <v>0</v>
      </c>
      <c r="N6" s="14" t="n">
        <f aca="false">E6-M6</f>
        <v>0</v>
      </c>
      <c r="O6" s="15" t="n">
        <v>0</v>
      </c>
    </row>
    <row r="7" customFormat="false" ht="16.5" hidden="false" customHeight="true" outlineLevel="0" collapsed="false">
      <c r="A7" s="6" t="inlineStr">
        <is>
          <t>03/05/2026</t>
        </is>
      </c>
      <c r="B7" s="7" t="inlineStr">
        <is>
          <t>Sunday</t>
        </is>
      </c>
      <c r="C7" s="8" t="n">
        <v>0</v>
      </c>
      <c r="D7" s="8" t="n">
        <v>0</v>
      </c>
      <c r="E7" s="9" t="n">
        <f aca="false">C7+D7</f>
        <v>0</v>
      </c>
      <c r="F7" s="10" t="n">
        <v>0</v>
      </c>
      <c r="G7" s="10" t="n">
        <v>0</v>
      </c>
      <c r="H7" s="11" t="n">
        <f aca="false">G7-F7</f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3" t="n">
        <f aca="false">I7+J7+K7+L7</f>
        <v>0</v>
      </c>
      <c r="N7" s="14" t="n">
        <f aca="false">E7-M7</f>
        <v>0</v>
      </c>
      <c r="O7" s="15" t="n">
        <v>0</v>
      </c>
    </row>
    <row r="8" customFormat="false" ht="16.5" hidden="false" customHeight="true" outlineLevel="0" collapsed="false">
      <c r="A8" s="6" t="inlineStr">
        <is>
          <t>04/05/2026</t>
        </is>
      </c>
      <c r="B8" s="7" t="inlineStr">
        <is>
          <t>Monday</t>
        </is>
      </c>
      <c r="C8" s="8" t="n">
        <v>0</v>
      </c>
      <c r="D8" s="8" t="n">
        <v>0</v>
      </c>
      <c r="E8" s="9" t="n">
        <f aca="false">C8+D8</f>
        <v>0</v>
      </c>
      <c r="F8" s="10" t="n">
        <v>0</v>
      </c>
      <c r="G8" s="10" t="n">
        <v>0</v>
      </c>
      <c r="H8" s="11" t="n">
        <f aca="false">G8-F8</f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3" t="n">
        <f aca="false">I8+J8+K8+L8</f>
        <v>0</v>
      </c>
      <c r="N8" s="14" t="n">
        <f aca="false">E8-M8</f>
        <v>0</v>
      </c>
      <c r="O8" s="15" t="n">
        <v>0</v>
      </c>
    </row>
    <row r="9" customFormat="false" ht="16.5" hidden="false" customHeight="true" outlineLevel="0" collapsed="false">
      <c r="A9" s="6" t="inlineStr">
        <is>
          <t>05/05/2026</t>
        </is>
      </c>
      <c r="B9" s="7" t="inlineStr">
        <is>
          <t>Tuesday</t>
        </is>
      </c>
      <c r="C9" s="8" t="n">
        <v>0</v>
      </c>
      <c r="D9" s="8" t="n">
        <v>0</v>
      </c>
      <c r="E9" s="9" t="n">
        <f aca="false">C9+D9</f>
        <v>0</v>
      </c>
      <c r="F9" s="10" t="n">
        <v>0</v>
      </c>
      <c r="G9" s="10" t="n">
        <v>0</v>
      </c>
      <c r="H9" s="11" t="n">
        <f aca="false">G9-F9</f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3" t="n">
        <f aca="false">I9+J9+K9+L9</f>
        <v>0</v>
      </c>
      <c r="N9" s="14" t="n">
        <f aca="false">E9-M9</f>
        <v>0</v>
      </c>
      <c r="O9" s="15" t="n">
        <v>0</v>
      </c>
    </row>
    <row r="10" customFormat="false" ht="16.5" hidden="false" customHeight="true" outlineLevel="0" collapsed="false">
      <c r="A10" s="6" t="inlineStr">
        <is>
          <t>06/05/2026</t>
        </is>
      </c>
      <c r="B10" s="7" t="inlineStr">
        <is>
          <t>Wednesday</t>
        </is>
      </c>
      <c r="C10" s="8" t="n">
        <v>0</v>
      </c>
      <c r="D10" s="8" t="n">
        <v>0</v>
      </c>
      <c r="E10" s="9" t="n">
        <f aca="false">C10+D10</f>
        <v>0</v>
      </c>
      <c r="F10" s="10" t="n">
        <v>0</v>
      </c>
      <c r="G10" s="10" t="n">
        <v>0</v>
      </c>
      <c r="H10" s="11" t="n">
        <f aca="false">G10-F10</f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3" t="n">
        <f aca="false">I10+J10+K10+L10</f>
        <v>0</v>
      </c>
      <c r="N10" s="14" t="n">
        <f aca="false">E10-M10</f>
        <v>0</v>
      </c>
      <c r="O10" s="15" t="n">
        <v>0</v>
      </c>
    </row>
    <row r="11" customFormat="false" ht="16.5" hidden="false" customHeight="true" outlineLevel="0" collapsed="false">
      <c r="A11" s="6" t="inlineStr">
        <is>
          <t>07/05/2026</t>
        </is>
      </c>
      <c r="B11" s="7" t="inlineStr">
        <is>
          <t>Thursday</t>
        </is>
      </c>
      <c r="C11" s="8" t="n">
        <v>0</v>
      </c>
      <c r="D11" s="8" t="n">
        <v>0</v>
      </c>
      <c r="E11" s="9" t="n">
        <f aca="false">C11+D11</f>
        <v>0</v>
      </c>
      <c r="F11" s="10" t="n">
        <v>0</v>
      </c>
      <c r="G11" s="10" t="n">
        <v>0</v>
      </c>
      <c r="H11" s="11" t="n">
        <f aca="false">G11-F11</f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3" t="n">
        <f aca="false">I11+J11+K11+L11</f>
        <v>0</v>
      </c>
      <c r="N11" s="14" t="n">
        <f aca="false">E11-M11</f>
        <v>0</v>
      </c>
      <c r="O11" s="15" t="n">
        <v>0</v>
      </c>
    </row>
    <row r="12" customFormat="false" ht="16.5" hidden="false" customHeight="true" outlineLevel="0" collapsed="false">
      <c r="A12" s="6" t="inlineStr">
        <is>
          <t>08/05/2026</t>
        </is>
      </c>
      <c r="B12" s="7" t="inlineStr">
        <is>
          <t>Friday</t>
        </is>
      </c>
      <c r="C12" s="8" t="n">
        <v>0</v>
      </c>
      <c r="D12" s="8" t="n">
        <v>0</v>
      </c>
      <c r="E12" s="9" t="n">
        <f aca="false">C12+D12</f>
        <v>0</v>
      </c>
      <c r="F12" s="10" t="n">
        <v>0</v>
      </c>
      <c r="G12" s="10" t="n">
        <v>0</v>
      </c>
      <c r="H12" s="11" t="n">
        <f aca="false">G12-F12</f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n">
        <f aca="false">I12+J12+K12+L12</f>
        <v>0</v>
      </c>
      <c r="N12" s="14" t="n">
        <f aca="false">E12-M12</f>
        <v>0</v>
      </c>
      <c r="O12" s="15" t="n">
        <v>0</v>
      </c>
    </row>
    <row r="13" customFormat="false" ht="16.5" hidden="false" customHeight="true" outlineLevel="0" collapsed="false">
      <c r="A13" s="6" t="inlineStr">
        <is>
          <t>09/05/2026</t>
        </is>
      </c>
      <c r="B13" s="7" t="inlineStr">
        <is>
          <t>Saturday</t>
        </is>
      </c>
      <c r="C13" s="8" t="n">
        <v>0</v>
      </c>
      <c r="D13" s="8" t="n">
        <v>0</v>
      </c>
      <c r="E13" s="9" t="n">
        <f aca="false">C13+D13</f>
        <v>0</v>
      </c>
      <c r="F13" s="10" t="n">
        <v>0</v>
      </c>
      <c r="G13" s="10" t="n">
        <v>0</v>
      </c>
      <c r="H13" s="11" t="n">
        <f aca="false">G13-F13</f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3" t="n">
        <f aca="false">I13+J13+K13+L13</f>
        <v>0</v>
      </c>
      <c r="N13" s="14" t="n">
        <f aca="false">E13-M13</f>
        <v>0</v>
      </c>
      <c r="O13" s="15" t="n">
        <v>0</v>
      </c>
    </row>
    <row r="14" customFormat="false" ht="16.5" hidden="false" customHeight="true" outlineLevel="0" collapsed="false">
      <c r="A14" s="6" t="inlineStr">
        <is>
          <t>10/05/2026</t>
        </is>
      </c>
      <c r="B14" s="7" t="inlineStr">
        <is>
          <t>Sunday</t>
        </is>
      </c>
      <c r="C14" s="8" t="n">
        <v>0</v>
      </c>
      <c r="D14" s="8" t="n">
        <v>0</v>
      </c>
      <c r="E14" s="9" t="n">
        <f aca="false">C14+D14</f>
        <v>0</v>
      </c>
      <c r="F14" s="10" t="n">
        <v>0</v>
      </c>
      <c r="G14" s="10" t="n">
        <v>0</v>
      </c>
      <c r="H14" s="11" t="n">
        <f aca="false">G14-F14</f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3" t="n">
        <f aca="false">I14+J14+K14+L14</f>
        <v>0</v>
      </c>
      <c r="N14" s="14" t="n">
        <f aca="false">E14-M14</f>
        <v>0</v>
      </c>
      <c r="O14" s="15" t="n">
        <v>0</v>
      </c>
    </row>
    <row r="15" customFormat="false" ht="16.5" hidden="false" customHeight="true" outlineLevel="0" collapsed="false">
      <c r="A15" s="6" t="inlineStr">
        <is>
          <t>11/05/2026</t>
        </is>
      </c>
      <c r="B15" s="7" t="inlineStr">
        <is>
          <t>Monday</t>
        </is>
      </c>
      <c r="C15" s="8" t="n">
        <v>0</v>
      </c>
      <c r="D15" s="8" t="n">
        <v>0</v>
      </c>
      <c r="E15" s="9" t="n">
        <f aca="false">C15+D15</f>
        <v>0</v>
      </c>
      <c r="F15" s="10" t="n">
        <v>0</v>
      </c>
      <c r="G15" s="10" t="n">
        <v>0</v>
      </c>
      <c r="H15" s="11" t="n">
        <f aca="false">G15-F15</f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3" t="n">
        <f aca="false">I15+J15+K15+L15</f>
        <v>0</v>
      </c>
      <c r="N15" s="14" t="n">
        <f aca="false">E15-M15</f>
        <v>0</v>
      </c>
      <c r="O15" s="15" t="n">
        <v>0</v>
      </c>
    </row>
    <row r="16" customFormat="false" ht="16.5" hidden="false" customHeight="true" outlineLevel="0" collapsed="false">
      <c r="A16" s="6" t="inlineStr">
        <is>
          <t>12/05/2026</t>
        </is>
      </c>
      <c r="B16" s="7" t="inlineStr">
        <is>
          <t>Tuesday</t>
        </is>
      </c>
      <c r="C16" s="8" t="n">
        <v>0</v>
      </c>
      <c r="D16" s="8" t="n">
        <v>0</v>
      </c>
      <c r="E16" s="9" t="n">
        <f aca="false">C16+D16</f>
        <v>0</v>
      </c>
      <c r="F16" s="10" t="n">
        <v>0</v>
      </c>
      <c r="G16" s="10" t="n">
        <v>0</v>
      </c>
      <c r="H16" s="11" t="n">
        <f aca="false">G16-F16</f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3" t="n">
        <f aca="false">I16+J16+K16+L16</f>
        <v>0</v>
      </c>
      <c r="N16" s="14" t="n">
        <f aca="false">E16-M16</f>
        <v>0</v>
      </c>
      <c r="O16" s="15" t="n">
        <v>0</v>
      </c>
    </row>
    <row r="17" customFormat="false" ht="16.5" hidden="false" customHeight="true" outlineLevel="0" collapsed="false">
      <c r="A17" s="6" t="inlineStr">
        <is>
          <t>13/05/2026</t>
        </is>
      </c>
      <c r="B17" s="7" t="inlineStr">
        <is>
          <t>Wednesday</t>
        </is>
      </c>
      <c r="C17" s="8" t="n">
        <v>0</v>
      </c>
      <c r="D17" s="8" t="n">
        <v>0</v>
      </c>
      <c r="E17" s="9" t="n">
        <f aca="false">C17+D17</f>
        <v>0</v>
      </c>
      <c r="F17" s="10" t="n">
        <v>0</v>
      </c>
      <c r="G17" s="10" t="n">
        <v>0</v>
      </c>
      <c r="H17" s="11" t="n">
        <f aca="false">G17-F17</f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3" t="n">
        <f aca="false">I17+J17+K17+L17</f>
        <v>0</v>
      </c>
      <c r="N17" s="14" t="n">
        <f aca="false">E17-M17</f>
        <v>0</v>
      </c>
      <c r="O17" s="15" t="n">
        <v>0</v>
      </c>
    </row>
    <row r="18" customFormat="false" ht="16.5" hidden="false" customHeight="true" outlineLevel="0" collapsed="false">
      <c r="A18" s="6" t="inlineStr">
        <is>
          <t>14/05/2026</t>
        </is>
      </c>
      <c r="B18" s="7" t="inlineStr">
        <is>
          <t>Thursday</t>
        </is>
      </c>
      <c r="C18" s="8" t="n">
        <v>0</v>
      </c>
      <c r="D18" s="8" t="n">
        <v>0</v>
      </c>
      <c r="E18" s="9" t="n">
        <f aca="false">C18+D18</f>
        <v>0</v>
      </c>
      <c r="F18" s="10" t="n">
        <v>0</v>
      </c>
      <c r="G18" s="10" t="n">
        <v>0</v>
      </c>
      <c r="H18" s="11" t="n">
        <f aca="false">G18-F18</f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3" t="n">
        <f aca="false">I18+J18+K18+L18</f>
        <v>0</v>
      </c>
      <c r="N18" s="14" t="n">
        <f aca="false">E18-M18</f>
        <v>0</v>
      </c>
      <c r="O18" s="15" t="n">
        <v>0</v>
      </c>
    </row>
    <row r="19" customFormat="false" ht="16.5" hidden="false" customHeight="true" outlineLevel="0" collapsed="false">
      <c r="A19" s="6" t="inlineStr">
        <is>
          <t>15/05/2026</t>
        </is>
      </c>
      <c r="B19" s="7" t="inlineStr">
        <is>
          <t>Friday</t>
        </is>
      </c>
      <c r="C19" s="8" t="n">
        <v>0</v>
      </c>
      <c r="D19" s="8" t="n">
        <v>0</v>
      </c>
      <c r="E19" s="9" t="n">
        <f aca="false">C19+D19</f>
        <v>0</v>
      </c>
      <c r="F19" s="10" t="n">
        <v>0</v>
      </c>
      <c r="G19" s="10" t="n">
        <v>0</v>
      </c>
      <c r="H19" s="11" t="n">
        <f aca="false">G19-F19</f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3" t="n">
        <f aca="false">I19+J19+K19+L19</f>
        <v>0</v>
      </c>
      <c r="N19" s="14" t="n">
        <f aca="false">E19-M19</f>
        <v>0</v>
      </c>
      <c r="O19" s="15" t="n">
        <v>0</v>
      </c>
    </row>
    <row r="20" customFormat="false" ht="16.5" hidden="false" customHeight="true" outlineLevel="0" collapsed="false">
      <c r="A20" s="6" t="inlineStr">
        <is>
          <t>16/05/2026</t>
        </is>
      </c>
      <c r="B20" s="7" t="inlineStr">
        <is>
          <t>Saturday</t>
        </is>
      </c>
      <c r="C20" s="8" t="n">
        <v>0</v>
      </c>
      <c r="D20" s="8" t="n">
        <v>0</v>
      </c>
      <c r="E20" s="9" t="n">
        <f aca="false">C20+D20</f>
        <v>0</v>
      </c>
      <c r="F20" s="10" t="n">
        <v>0</v>
      </c>
      <c r="G20" s="10" t="n">
        <v>0</v>
      </c>
      <c r="H20" s="11" t="n">
        <f aca="false">G20-F20</f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3" t="n">
        <f aca="false">I20+J20+K20+L20</f>
        <v>0</v>
      </c>
      <c r="N20" s="14" t="n">
        <f aca="false">E20-M20</f>
        <v>0</v>
      </c>
      <c r="O20" s="15" t="n">
        <v>0</v>
      </c>
    </row>
    <row r="21" customFormat="false" ht="16.5" hidden="false" customHeight="true" outlineLevel="0" collapsed="false">
      <c r="A21" s="6" t="inlineStr">
        <is>
          <t>17/05/2026</t>
        </is>
      </c>
      <c r="B21" s="7" t="inlineStr">
        <is>
          <t>Sunday</t>
        </is>
      </c>
      <c r="C21" s="8" t="n">
        <v>0</v>
      </c>
      <c r="D21" s="8" t="n">
        <v>0</v>
      </c>
      <c r="E21" s="9" t="n">
        <f aca="false">C21+D21</f>
        <v>0</v>
      </c>
      <c r="F21" s="10" t="n">
        <v>0</v>
      </c>
      <c r="G21" s="10" t="n">
        <v>0</v>
      </c>
      <c r="H21" s="11" t="n">
        <f aca="false">G21-F21</f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3" t="n">
        <f aca="false">I21+J21+K21+L21</f>
        <v>0</v>
      </c>
      <c r="N21" s="14" t="n">
        <f aca="false">E21-M21</f>
        <v>0</v>
      </c>
      <c r="O21" s="15" t="n">
        <v>0</v>
      </c>
    </row>
    <row r="22" customFormat="false" ht="16.5" hidden="false" customHeight="true" outlineLevel="0" collapsed="false">
      <c r="A22" s="6" t="inlineStr">
        <is>
          <t>18/05/2026</t>
        </is>
      </c>
      <c r="B22" s="7" t="inlineStr">
        <is>
          <t>Monday</t>
        </is>
      </c>
      <c r="C22" s="8" t="n">
        <v>0</v>
      </c>
      <c r="D22" s="8" t="n">
        <v>0</v>
      </c>
      <c r="E22" s="9" t="n">
        <f aca="false">C22+D22</f>
        <v>0</v>
      </c>
      <c r="F22" s="10" t="n">
        <v>0</v>
      </c>
      <c r="G22" s="10" t="n">
        <v>0</v>
      </c>
      <c r="H22" s="11" t="n">
        <f aca="false">G22-F22</f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3" t="n">
        <f aca="false">I22+J22+K22+L22</f>
        <v>0</v>
      </c>
      <c r="N22" s="14" t="n">
        <f aca="false">E22-M22</f>
        <v>0</v>
      </c>
      <c r="O22" s="15" t="n">
        <v>0</v>
      </c>
    </row>
    <row r="23" customFormat="false" ht="16.5" hidden="false" customHeight="true" outlineLevel="0" collapsed="false">
      <c r="A23" s="6" t="inlineStr">
        <is>
          <t>19/05/2026</t>
        </is>
      </c>
      <c r="B23" s="7" t="inlineStr">
        <is>
          <t>Tuesday</t>
        </is>
      </c>
      <c r="C23" s="8" t="n">
        <v>0</v>
      </c>
      <c r="D23" s="8" t="n">
        <v>0</v>
      </c>
      <c r="E23" s="9" t="n">
        <f aca="false">C23+D23</f>
        <v>0</v>
      </c>
      <c r="F23" s="10" t="n">
        <v>0</v>
      </c>
      <c r="G23" s="10" t="n">
        <v>0</v>
      </c>
      <c r="H23" s="11" t="n">
        <f aca="false">G23-F23</f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3" t="n">
        <f aca="false">I23+J23+K23+L23</f>
        <v>0</v>
      </c>
      <c r="N23" s="14" t="n">
        <f aca="false">E23-M23</f>
        <v>0</v>
      </c>
      <c r="O23" s="15" t="n">
        <v>0</v>
      </c>
    </row>
    <row r="24" customFormat="false" ht="16.5" hidden="false" customHeight="true" outlineLevel="0" collapsed="false">
      <c r="A24" s="6" t="inlineStr">
        <is>
          <t>20/05/2026</t>
        </is>
      </c>
      <c r="B24" s="7" t="inlineStr">
        <is>
          <t>Wednesday</t>
        </is>
      </c>
      <c r="C24" s="8" t="n">
        <v>0</v>
      </c>
      <c r="D24" s="8" t="n">
        <v>0</v>
      </c>
      <c r="E24" s="9" t="n">
        <f aca="false">C24+D24</f>
        <v>0</v>
      </c>
      <c r="F24" s="10" t="n">
        <v>0</v>
      </c>
      <c r="G24" s="10" t="n">
        <v>0</v>
      </c>
      <c r="H24" s="11" t="n">
        <f aca="false">G24-F24</f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3" t="n">
        <f aca="false">I24+J24+K24+L24</f>
        <v>0</v>
      </c>
      <c r="N24" s="14" t="n">
        <f aca="false">E24-M24</f>
        <v>0</v>
      </c>
      <c r="O24" s="15" t="n">
        <v>0</v>
      </c>
    </row>
    <row r="25" customFormat="false" ht="16.5" hidden="false" customHeight="true" outlineLevel="0" collapsed="false">
      <c r="A25" s="6" t="inlineStr">
        <is>
          <t>21/05/2026</t>
        </is>
      </c>
      <c r="B25" s="7" t="inlineStr">
        <is>
          <t>Thursday</t>
        </is>
      </c>
      <c r="C25" s="8" t="n">
        <v>0</v>
      </c>
      <c r="D25" s="8" t="n">
        <v>0</v>
      </c>
      <c r="E25" s="9" t="n">
        <f aca="false">C25+D25</f>
        <v>0</v>
      </c>
      <c r="F25" s="10" t="n">
        <v>0</v>
      </c>
      <c r="G25" s="10" t="n">
        <v>0</v>
      </c>
      <c r="H25" s="11" t="n">
        <f aca="false">G25-F25</f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3" t="n">
        <f aca="false">I25+J25+K25+L25</f>
        <v>0</v>
      </c>
      <c r="N25" s="14" t="n">
        <f aca="false">E25-M25</f>
        <v>0</v>
      </c>
      <c r="O25" s="15" t="n">
        <v>0</v>
      </c>
    </row>
    <row r="26" customFormat="false" ht="16.5" hidden="false" customHeight="true" outlineLevel="0" collapsed="false">
      <c r="A26" s="6" t="inlineStr">
        <is>
          <t>22/05/2026</t>
        </is>
      </c>
      <c r="B26" s="7" t="inlineStr">
        <is>
          <t>Friday</t>
        </is>
      </c>
      <c r="C26" s="8" t="n">
        <v>0</v>
      </c>
      <c r="D26" s="8" t="n">
        <v>0</v>
      </c>
      <c r="E26" s="9" t="n">
        <f aca="false">C26+D26</f>
        <v>0</v>
      </c>
      <c r="F26" s="10" t="n">
        <v>0</v>
      </c>
      <c r="G26" s="10" t="n">
        <v>0</v>
      </c>
      <c r="H26" s="11" t="n">
        <f aca="false">G26-F26</f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3" t="n">
        <f aca="false">I26+J26+K26+L26</f>
        <v>0</v>
      </c>
      <c r="N26" s="14" t="n">
        <f aca="false">E26-M26</f>
        <v>0</v>
      </c>
      <c r="O26" s="15" t="n">
        <v>0</v>
      </c>
    </row>
    <row r="27" customFormat="false" ht="16.5" hidden="false" customHeight="true" outlineLevel="0" collapsed="false">
      <c r="A27" s="6" t="inlineStr">
        <is>
          <t>23/05/2026</t>
        </is>
      </c>
      <c r="B27" s="7" t="inlineStr">
        <is>
          <t>Saturday</t>
        </is>
      </c>
      <c r="C27" s="8" t="n">
        <v>0</v>
      </c>
      <c r="D27" s="8" t="n">
        <v>0</v>
      </c>
      <c r="E27" s="9" t="n">
        <f aca="false">C27+D27</f>
        <v>0</v>
      </c>
      <c r="F27" s="10" t="n">
        <v>0</v>
      </c>
      <c r="G27" s="10" t="n">
        <v>0</v>
      </c>
      <c r="H27" s="11" t="n">
        <f aca="false">G27-F27</f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3" t="n">
        <f aca="false">I27+J27+K27+L27</f>
        <v>0</v>
      </c>
      <c r="N27" s="14" t="n">
        <f aca="false">E27-M27</f>
        <v>0</v>
      </c>
      <c r="O27" s="15" t="n">
        <v>0</v>
      </c>
    </row>
    <row r="28" customFormat="false" ht="16.5" hidden="false" customHeight="true" outlineLevel="0" collapsed="false">
      <c r="A28" s="6" t="inlineStr">
        <is>
          <t>24/05/2026</t>
        </is>
      </c>
      <c r="B28" s="7" t="inlineStr">
        <is>
          <t>Sunday</t>
        </is>
      </c>
      <c r="C28" s="8" t="n">
        <v>0</v>
      </c>
      <c r="D28" s="8" t="n">
        <v>0</v>
      </c>
      <c r="E28" s="9" t="n">
        <f aca="false">C28+D28</f>
        <v>0</v>
      </c>
      <c r="F28" s="10" t="n">
        <v>0</v>
      </c>
      <c r="G28" s="10" t="n">
        <v>0</v>
      </c>
      <c r="H28" s="11" t="n">
        <f aca="false">G28-F28</f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3" t="n">
        <f aca="false">I28+J28+K28+L28</f>
        <v>0</v>
      </c>
      <c r="N28" s="14" t="n">
        <f aca="false">E28-M28</f>
        <v>0</v>
      </c>
      <c r="O28" s="15" t="n">
        <v>0</v>
      </c>
    </row>
    <row r="29" customFormat="false" ht="16.5" hidden="false" customHeight="true" outlineLevel="0" collapsed="false">
      <c r="A29" s="6" t="inlineStr">
        <is>
          <t>25/05/2026</t>
        </is>
      </c>
      <c r="B29" s="7" t="inlineStr">
        <is>
          <t>Monday</t>
        </is>
      </c>
      <c r="C29" s="8" t="n">
        <v>0</v>
      </c>
      <c r="D29" s="8" t="n">
        <v>0</v>
      </c>
      <c r="E29" s="9" t="n">
        <f aca="false">C29+D29</f>
        <v>0</v>
      </c>
      <c r="F29" s="10" t="n">
        <v>0</v>
      </c>
      <c r="G29" s="10" t="n">
        <v>0</v>
      </c>
      <c r="H29" s="11" t="n">
        <f aca="false">G29-F29</f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3" t="n">
        <f aca="false">I29+J29+K29+L29</f>
        <v>0</v>
      </c>
      <c r="N29" s="14" t="n">
        <f aca="false">E29-M29</f>
        <v>0</v>
      </c>
      <c r="O29" s="15" t="n">
        <v>0</v>
      </c>
    </row>
    <row r="30" customFormat="false" ht="16.5" hidden="false" customHeight="true" outlineLevel="0" collapsed="false">
      <c r="A30" s="6" t="inlineStr">
        <is>
          <t>26/05/2026</t>
        </is>
      </c>
      <c r="B30" s="7" t="inlineStr">
        <is>
          <t>Tuesday</t>
        </is>
      </c>
      <c r="C30" s="8" t="n">
        <v>0</v>
      </c>
      <c r="D30" s="8" t="n">
        <v>0</v>
      </c>
      <c r="E30" s="9" t="n">
        <f aca="false">C30+D30</f>
        <v>0</v>
      </c>
      <c r="F30" s="10" t="n">
        <v>0</v>
      </c>
      <c r="G30" s="10" t="n">
        <v>0</v>
      </c>
      <c r="H30" s="11" t="n">
        <f aca="false">G30-F30</f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3" t="n">
        <f aca="false">I30+J30+K30+L30</f>
        <v>0</v>
      </c>
      <c r="N30" s="14" t="n">
        <f aca="false">E30-M30</f>
        <v>0</v>
      </c>
      <c r="O30" s="15" t="n">
        <v>0</v>
      </c>
    </row>
    <row r="31" customFormat="false" ht="16.5" hidden="false" customHeight="true" outlineLevel="0" collapsed="false">
      <c r="A31" s="6" t="inlineStr">
        <is>
          <t>27/05/2026</t>
        </is>
      </c>
      <c r="B31" s="7" t="inlineStr">
        <is>
          <t>Wednesday</t>
        </is>
      </c>
      <c r="C31" s="8" t="n">
        <v>0</v>
      </c>
      <c r="D31" s="8" t="n">
        <v>0</v>
      </c>
      <c r="E31" s="9" t="n">
        <f aca="false">C31+D31</f>
        <v>0</v>
      </c>
      <c r="F31" s="10" t="n">
        <v>0</v>
      </c>
      <c r="G31" s="10" t="n">
        <v>0</v>
      </c>
      <c r="H31" s="11" t="n">
        <f aca="false">G31-F31</f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3" t="n">
        <f aca="false">I31+J31+K31+L31</f>
        <v>0</v>
      </c>
      <c r="N31" s="14" t="n">
        <f aca="false">E31-M31</f>
        <v>0</v>
      </c>
      <c r="O31" s="15" t="n">
        <v>0</v>
      </c>
    </row>
    <row r="32" customFormat="false" ht="16.5" hidden="false" customHeight="true" outlineLevel="0" collapsed="false">
      <c r="A32" s="6" t="inlineStr">
        <is>
          <t>28/05/2026</t>
        </is>
      </c>
      <c r="B32" s="7" t="inlineStr">
        <is>
          <t>Thursday</t>
        </is>
      </c>
      <c r="C32" s="8" t="n">
        <v>0</v>
      </c>
      <c r="D32" s="8" t="n">
        <v>0</v>
      </c>
      <c r="E32" s="9" t="n">
        <f aca="false">C32+D32</f>
        <v>0</v>
      </c>
      <c r="F32" s="10" t="n">
        <v>0</v>
      </c>
      <c r="G32" s="10" t="n">
        <v>0</v>
      </c>
      <c r="H32" s="11" t="n">
        <f aca="false">G32-F32</f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3" t="n">
        <f aca="false">I32+J32+K32+L32</f>
        <v>0</v>
      </c>
      <c r="N32" s="14" t="n">
        <f aca="false">E32-M32</f>
        <v>0</v>
      </c>
      <c r="O32" s="15" t="n">
        <v>0</v>
      </c>
    </row>
    <row r="33" customFormat="false" ht="16.5" hidden="false" customHeight="true" outlineLevel="0" collapsed="false">
      <c r="A33" s="6" t="inlineStr">
        <is>
          <t>29/05/2026</t>
        </is>
      </c>
      <c r="B33" s="7" t="inlineStr">
        <is>
          <t>Friday</t>
        </is>
      </c>
      <c r="C33" s="8" t="n">
        <v>0</v>
      </c>
      <c r="D33" s="8" t="n">
        <v>0</v>
      </c>
      <c r="E33" s="9" t="n">
        <f aca="false">C33+D33</f>
        <v>0</v>
      </c>
      <c r="F33" s="10" t="n">
        <v>0</v>
      </c>
      <c r="G33" s="10" t="n">
        <v>0</v>
      </c>
      <c r="H33" s="11" t="n">
        <f aca="false">G33-F33</f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3" t="n">
        <f aca="false">I33+J33+K33+L33</f>
        <v>0</v>
      </c>
      <c r="N33" s="14" t="n">
        <f aca="false">E33-M33</f>
        <v>0</v>
      </c>
      <c r="O33" s="15" t="n">
        <v>0</v>
      </c>
    </row>
    <row r="34" customFormat="false" ht="16.5" hidden="false" customHeight="true" outlineLevel="0" collapsed="false">
      <c r="A34" s="6" t="inlineStr">
        <is>
          <t>30/05/2026</t>
        </is>
      </c>
      <c r="B34" s="7" t="inlineStr">
        <is>
          <t>Saturday</t>
        </is>
      </c>
      <c r="C34" s="8" t="n">
        <v>0</v>
      </c>
      <c r="D34" s="8" t="n">
        <v>0</v>
      </c>
      <c r="E34" s="9" t="n">
        <f aca="false">C34+D34</f>
        <v>0</v>
      </c>
      <c r="F34" s="10" t="n">
        <v>0</v>
      </c>
      <c r="G34" s="10" t="n">
        <v>0</v>
      </c>
      <c r="H34" s="11" t="n">
        <f aca="false">G34-F34</f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3" t="n">
        <f aca="false">I34+J34+K34+L34</f>
        <v>0</v>
      </c>
      <c r="N34" s="14" t="n">
        <f aca="false">E34-M34</f>
        <v>0</v>
      </c>
      <c r="O34" s="15" t="n">
        <v>0</v>
      </c>
    </row>
    <row r="35" customFormat="false" ht="16.5" hidden="false" customHeight="true" outlineLevel="0" collapsed="false">
      <c r="A35" s="6" t="inlineStr">
        <is>
          <t>31/05/2026</t>
        </is>
      </c>
      <c r="B35" s="7" t="inlineStr">
        <is>
          <t>Sunday</t>
        </is>
      </c>
      <c r="C35" s="8" t="n">
        <v>0</v>
      </c>
      <c r="D35" s="8" t="n">
        <v>0</v>
      </c>
      <c r="E35" s="9" t="n">
        <f aca="false">C35+D35</f>
        <v>0</v>
      </c>
      <c r="F35" s="10" t="n">
        <v>0</v>
      </c>
      <c r="G35" s="10" t="n">
        <v>0</v>
      </c>
      <c r="H35" s="11" t="n">
        <f aca="false">G35-F35</f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3" t="n">
        <f aca="false">I35+J35+K35+L35</f>
        <v>0</v>
      </c>
      <c r="N35" s="14" t="n">
        <f aca="false">E35-M35</f>
        <v>0</v>
      </c>
      <c r="O35" s="15" t="n">
        <v>0</v>
      </c>
    </row>
    <row r="36" customFormat="false" ht="21.75" hidden="false" customHeight="true" outlineLevel="0" collapsed="false">
      <c r="A36" s="16" t="inlineStr">
        <is>
          <t>MAY TOTALS</t>
        </is>
      </c>
      <c r="B36" s="16"/>
      <c r="C36" s="17" t="n">
        <f aca="false">SUM(C5:C35)</f>
        <v>0</v>
      </c>
      <c r="D36" s="17" t="n">
        <f aca="false">SUM(D5:D35)</f>
        <v>0</v>
      </c>
      <c r="E36" s="17" t="n">
        <f aca="false">SUM(E5:E35)</f>
        <v>0</v>
      </c>
      <c r="F36" s="18" t="n">
        <f aca="false">SUM(F5:F35)</f>
        <v>0</v>
      </c>
      <c r="G36" s="18" t="n">
        <f aca="false">SUM(G5:G35)</f>
        <v>0</v>
      </c>
      <c r="H36" s="19" t="n">
        <f aca="false">SUM(H5:H35)</f>
        <v>0</v>
      </c>
      <c r="I36" s="17" t="n">
        <f aca="false">SUM(I5:I35)</f>
        <v>0</v>
      </c>
      <c r="J36" s="17" t="n">
        <f aca="false">SUM(J5:J35)</f>
        <v>0</v>
      </c>
      <c r="K36" s="17" t="n">
        <f aca="false">SUM(K5:K35)</f>
        <v>0</v>
      </c>
      <c r="L36" s="17" t="n">
        <f aca="false">SUM(L5:L35)</f>
        <v>0</v>
      </c>
      <c r="M36" s="17" t="n">
        <f aca="false">SUM(M5:M35)</f>
        <v>0</v>
      </c>
      <c r="N36" s="17" t="n">
        <f aca="false">SUM(N5:N35)</f>
        <v>0</v>
      </c>
      <c r="O36" s="20" t="n">
        <f aca="false">SUM(O5:O35)</f>
        <v>0</v>
      </c>
    </row>
    <row r="37" customFormat="false" ht="19.5" hidden="false" customHeight="true" outlineLevel="0" collapsed="false">
      <c r="A37" s="21" t="inlineStr">
        <is>
          <t>$/Hour</t>
        </is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 t="n">
        <f aca="false">IF(O36&gt;0,N36/O36,0)</f>
        <v>0</v>
      </c>
      <c r="O37" s="23" t="n">
        <f aca="false">O36</f>
        <v>0</v>
      </c>
    </row>
  </sheetData>
  <mergeCells count="5">
    <mergeCell ref="A1:N1"/>
    <mergeCell ref="A2:N2"/>
    <mergeCell ref="A3:N3"/>
    <mergeCell ref="A36:B36"/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4" min="4" style="1" width="3"/>
  </cols>
  <sheetData>
    <row r="1" customFormat="false" ht="27.75" hidden="false" customHeight="true" outlineLevel="0" collapsed="false">
      <c r="A1" s="24" t="s">
        <v>57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24" hidden="false" customHeight="true" outlineLevel="0" collapsed="false">
      <c r="A2" s="25" t="s">
        <v>58</v>
      </c>
      <c r="B2" s="25"/>
      <c r="C2" s="25"/>
    </row>
    <row r="3" customFormat="false" ht="19.5" hidden="false" customHeight="true" outlineLevel="0" collapsed="false">
      <c r="A3" s="26" t="s">
        <v>59</v>
      </c>
      <c r="B3" s="27" t="n">
        <f aca="false">'May 2026 Daily Log'!C36</f>
        <v>0</v>
      </c>
      <c r="C3" s="28"/>
    </row>
    <row r="4" customFormat="false" ht="19.5" hidden="false" customHeight="true" outlineLevel="0" collapsed="false">
      <c r="A4" s="26" t="s">
        <v>60</v>
      </c>
      <c r="B4" s="27" t="n">
        <f aca="false">'May 2026 Daily Log'!D36</f>
        <v>0</v>
      </c>
      <c r="C4" s="28"/>
    </row>
    <row r="5" customFormat="false" ht="19.5" hidden="false" customHeight="true" outlineLevel="0" collapsed="false">
      <c r="A5" s="26" t="s">
        <v>61</v>
      </c>
      <c r="B5" s="27" t="n">
        <f aca="false">'May 2026 Daily Log'!E36</f>
        <v>0</v>
      </c>
      <c r="C5" s="28" t="s">
        <v>62</v>
      </c>
    </row>
    <row r="6" customFormat="false" ht="15.75" hidden="false" customHeight="true" outlineLevel="0" collapsed="false">
      <c r="A6" s="25" t="s">
        <v>63</v>
      </c>
      <c r="B6" s="25"/>
      <c r="C6" s="25"/>
    </row>
    <row r="7" customFormat="false" ht="19.5" hidden="false" customHeight="true" outlineLevel="0" collapsed="false">
      <c r="A7" s="26" t="s">
        <v>64</v>
      </c>
      <c r="B7" s="29" t="n">
        <v>0</v>
      </c>
      <c r="C7" s="28" t="s">
        <v>65</v>
      </c>
    </row>
    <row r="8" customFormat="false" ht="19.5" hidden="false" customHeight="true" outlineLevel="0" collapsed="false">
      <c r="A8" s="26" t="s">
        <v>66</v>
      </c>
      <c r="B8" s="30" t="n">
        <f aca="false">'May 2026 Daily Log'!I36</f>
        <v>0</v>
      </c>
      <c r="C8" s="28" t="s">
        <v>67</v>
      </c>
    </row>
    <row r="9" customFormat="false" ht="19.5" hidden="false" customHeight="true" outlineLevel="0" collapsed="false">
      <c r="A9" s="26" t="s">
        <v>68</v>
      </c>
      <c r="B9" s="30" t="n">
        <f aca="false">'May 2026 Daily Log'!J36</f>
        <v>0</v>
      </c>
      <c r="C9" s="28"/>
    </row>
    <row r="10" customFormat="false" ht="19.5" hidden="false" customHeight="true" outlineLevel="0" collapsed="false">
      <c r="A10" s="26" t="s">
        <v>69</v>
      </c>
      <c r="B10" s="30" t="n">
        <f aca="false">'May 2026 Daily Log'!K36</f>
        <v>0</v>
      </c>
      <c r="C10" s="28"/>
    </row>
    <row r="11" customFormat="false" ht="19.5" hidden="false" customHeight="true" outlineLevel="0" collapsed="false">
      <c r="A11" s="26" t="s">
        <v>70</v>
      </c>
      <c r="B11" s="30" t="n">
        <f aca="false">'May 2026 Daily Log'!L36</f>
        <v>0</v>
      </c>
      <c r="C11" s="28"/>
    </row>
    <row r="12" customFormat="false" ht="19.5" hidden="false" customHeight="true" outlineLevel="0" collapsed="false">
      <c r="A12" s="26" t="s">
        <v>71</v>
      </c>
      <c r="B12" s="31" t="n">
        <v>0</v>
      </c>
      <c r="C12" s="28" t="s">
        <v>72</v>
      </c>
    </row>
    <row r="13" customFormat="false" ht="19.5" hidden="false" customHeight="true" outlineLevel="0" collapsed="false">
      <c r="A13" s="26" t="s">
        <v>73</v>
      </c>
      <c r="B13" s="31" t="n">
        <v>0</v>
      </c>
      <c r="C13" s="28" t="s">
        <v>74</v>
      </c>
    </row>
    <row r="14" customFormat="false" ht="19.5" hidden="false" customHeight="true" outlineLevel="0" collapsed="false">
      <c r="A14" s="26" t="s">
        <v>75</v>
      </c>
      <c r="B14" s="32" t="n">
        <f aca="false">B7+B8+B9+B10+B11+B12+B13</f>
        <v>0</v>
      </c>
      <c r="C14" s="28" t="s">
        <v>76</v>
      </c>
    </row>
    <row r="15" customFormat="false" ht="19.5" hidden="false" customHeight="true" outlineLevel="0" collapsed="false">
      <c r="A15" s="25" t="s">
        <v>77</v>
      </c>
      <c r="B15" s="33"/>
      <c r="C15" s="33"/>
    </row>
    <row r="16" customFormat="false" ht="19.5" hidden="false" customHeight="true" outlineLevel="0" collapsed="false">
      <c r="A16" s="26" t="s">
        <v>78</v>
      </c>
      <c r="B16" s="34" t="n">
        <f aca="false">B5-B14</f>
        <v>0</v>
      </c>
      <c r="C16" s="28" t="s">
        <v>79</v>
      </c>
    </row>
    <row r="17" customFormat="false" ht="19.5" hidden="false" customHeight="true" outlineLevel="0" collapsed="false">
      <c r="A17" s="26" t="s">
        <v>17</v>
      </c>
      <c r="B17" s="35" t="n">
        <f aca="false">'May 2026 Daily Log'!O36</f>
        <v>0</v>
      </c>
      <c r="C17" s="28"/>
    </row>
    <row r="18" customFormat="false" ht="15" hidden="false" customHeight="true" outlineLevel="0" collapsed="false">
      <c r="A18" s="26" t="s">
        <v>56</v>
      </c>
      <c r="B18" s="36" t="n">
        <f aca="false">IF(B17&gt;0,B16/B17,0)</f>
        <v>0</v>
      </c>
      <c r="C18" s="28" t="s">
        <v>80</v>
      </c>
    </row>
    <row r="19" customFormat="false" ht="15" hidden="false" customHeight="false" outlineLevel="0" collapsed="false">
      <c r="A19" s="26" t="s">
        <v>81</v>
      </c>
      <c r="B19" s="37" t="n">
        <f aca="false">IF(B5&gt;0,B14/B5,0)</f>
        <v>0</v>
      </c>
      <c r="C19" s="28" t="s">
        <v>82</v>
      </c>
    </row>
    <row r="20" customFormat="false" ht="15" hidden="false" customHeight="false" outlineLevel="0" collapsed="false">
      <c r="A20" s="26" t="s">
        <v>83</v>
      </c>
      <c r="B20" s="38" t="n">
        <f aca="false">'May 2026 Daily Log'!H36</f>
        <v>0</v>
      </c>
      <c r="C20" s="28"/>
    </row>
  </sheetData>
  <mergeCells count="3">
    <mergeCell ref="A1:K1"/>
    <mergeCell ref="A2:C2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2"/>
    <col collapsed="false" customWidth="true" hidden="false" outlineLevel="0" max="6" min="6" style="1" width="20"/>
    <col collapsed="false" customWidth="true" hidden="false" outlineLevel="0" max="8" min="7" style="1" width="14"/>
    <col collapsed="false" customWidth="true" hidden="false" outlineLevel="0" max="9" min="9" style="1" width="2"/>
  </cols>
  <sheetData>
    <row r="2" customFormat="false" ht="37.5" hidden="false" customHeight="true" outlineLevel="0" collapsed="false">
      <c r="B2" s="39" t="s">
        <v>84</v>
      </c>
      <c r="C2" s="39"/>
      <c r="D2" s="39"/>
      <c r="E2" s="39"/>
      <c r="F2" s="39"/>
      <c r="G2" s="39"/>
      <c r="H2" s="39"/>
    </row>
    <row r="3" customFormat="false" ht="15.75" hidden="false" customHeight="true" outlineLevel="0" collapsed="false">
      <c r="B3" s="40" t="s">
        <v>85</v>
      </c>
      <c r="C3" s="40"/>
      <c r="D3" s="40"/>
      <c r="E3" s="40"/>
      <c r="F3" s="40"/>
      <c r="G3" s="40"/>
      <c r="H3" s="40"/>
    </row>
    <row r="5" customFormat="false" ht="21.75" hidden="false" customHeight="true" outlineLevel="0" collapsed="false">
      <c r="B5" s="41" t="s">
        <v>86</v>
      </c>
      <c r="C5" s="41"/>
      <c r="D5" s="41"/>
      <c r="F5" s="41" t="s">
        <v>75</v>
      </c>
      <c r="G5" s="41"/>
      <c r="H5" s="41"/>
    </row>
    <row r="6" customFormat="false" ht="43.5" hidden="false" customHeight="true" outlineLevel="0" collapsed="false">
      <c r="B6" s="42" t="n">
        <f aca="false">'May Monthly Summary'!B5</f>
        <v>0</v>
      </c>
      <c r="C6" s="42"/>
      <c r="D6" s="42"/>
      <c r="F6" s="43" t="n">
        <f aca="false">'May Monthly Summary'!B14</f>
        <v>0</v>
      </c>
      <c r="G6" s="43"/>
      <c r="H6" s="43"/>
    </row>
    <row r="8" customFormat="false" ht="21.75" hidden="false" customHeight="true" outlineLevel="0" collapsed="false">
      <c r="B8" s="41" t="s">
        <v>78</v>
      </c>
      <c r="C8" s="41"/>
      <c r="D8" s="41"/>
      <c r="F8" s="41" t="s">
        <v>87</v>
      </c>
      <c r="G8" s="41"/>
      <c r="H8" s="41"/>
    </row>
    <row r="9" customFormat="false" ht="43.5" hidden="false" customHeight="true" outlineLevel="0" collapsed="false">
      <c r="B9" s="44" t="n">
        <f aca="false">'May Monthly Summary'!B16</f>
        <v>0</v>
      </c>
      <c r="C9" s="44"/>
      <c r="D9" s="44"/>
      <c r="F9" s="45" t="n">
        <f aca="false">'May Monthly Summary'!B17</f>
        <v>0</v>
      </c>
      <c r="G9" s="45"/>
      <c r="H9" s="45"/>
    </row>
    <row r="11" customFormat="false" ht="21.75" hidden="false" customHeight="true" outlineLevel="0" collapsed="false">
      <c r="B11" s="41" t="s">
        <v>88</v>
      </c>
      <c r="C11" s="41"/>
      <c r="D11" s="41"/>
      <c r="F11" s="41" t="s">
        <v>89</v>
      </c>
      <c r="G11" s="41"/>
      <c r="H11" s="41"/>
    </row>
    <row r="12" customFormat="false" ht="43.5" hidden="false" customHeight="true" outlineLevel="0" collapsed="false">
      <c r="B12" s="46" t="n">
        <f aca="false">IF('May Monthly Summary'!B17&gt;0,'May Monthly Summary'!B16/'May Monthly Summary'!B17,0)</f>
        <v>0</v>
      </c>
      <c r="C12" s="46"/>
      <c r="D12" s="46"/>
      <c r="F12" s="47" t="n">
        <v>0</v>
      </c>
      <c r="G12" s="47"/>
      <c r="H12" s="47"/>
    </row>
    <row r="14" customFormat="false" ht="21.75" hidden="false" customHeight="true" outlineLevel="0" collapsed="false">
      <c r="B14" s="41" t="s">
        <v>81</v>
      </c>
      <c r="C14" s="41"/>
      <c r="D14" s="41"/>
      <c r="F14" s="41" t="s">
        <v>90</v>
      </c>
      <c r="G14" s="41"/>
      <c r="H14" s="41"/>
    </row>
    <row r="15" customFormat="false" ht="43.5" hidden="false" customHeight="true" outlineLevel="0" collapsed="false">
      <c r="B15" s="48" t="n">
        <f aca="false">IF('May Monthly Summary'!B5&gt;0,'May Monthly Summary'!B14/'May Monthly Summary'!B5,0)</f>
        <v>0</v>
      </c>
      <c r="C15" s="48"/>
      <c r="D15" s="48"/>
      <c r="F15" s="49" t="n">
        <f aca="false">IF('May Monthly Summary'!B5&gt;0,'May Monthly Summary'!B16/'May Monthly Summary'!B5,0)</f>
        <v>0</v>
      </c>
      <c r="G15" s="49"/>
      <c r="H15" s="49"/>
    </row>
    <row r="17" customFormat="false" ht="9.75" hidden="false" customHeight="true" outlineLevel="0" collapsed="false"/>
    <row r="18" customFormat="false" ht="21.75" hidden="false" customHeight="true" outlineLevel="0" collapsed="false">
      <c r="B18" s="50" t="s">
        <v>91</v>
      </c>
      <c r="C18" s="50"/>
      <c r="D18" s="50"/>
      <c r="E18" s="50"/>
      <c r="F18" s="50"/>
      <c r="G18" s="50"/>
      <c r="H18" s="50"/>
    </row>
    <row r="19" customFormat="false" ht="18" hidden="false" customHeight="true" outlineLevel="0" collapsed="false">
      <c r="B19" s="51" t="s">
        <v>92</v>
      </c>
      <c r="C19" s="52" t="s">
        <v>93</v>
      </c>
      <c r="D19" s="52"/>
      <c r="E19" s="52"/>
      <c r="F19" s="52"/>
      <c r="G19" s="52"/>
      <c r="H19" s="52"/>
    </row>
    <row r="20" customFormat="false" ht="18" hidden="false" customHeight="true" outlineLevel="0" collapsed="false">
      <c r="B20" s="53" t="s">
        <v>94</v>
      </c>
      <c r="C20" s="52" t="s">
        <v>95</v>
      </c>
      <c r="D20" s="52"/>
      <c r="E20" s="52"/>
      <c r="F20" s="52"/>
      <c r="G20" s="52"/>
      <c r="H20" s="52"/>
    </row>
    <row r="21" customFormat="false" ht="18" hidden="false" customHeight="true" outlineLevel="0" collapsed="false">
      <c r="B21" s="54" t="s">
        <v>96</v>
      </c>
      <c r="C21" s="52" t="s">
        <v>97</v>
      </c>
      <c r="D21" s="52"/>
      <c r="E21" s="52"/>
      <c r="F21" s="52"/>
      <c r="G21" s="52"/>
      <c r="H21" s="52"/>
    </row>
    <row r="22" customFormat="false" ht="18" hidden="false" customHeight="true" outlineLevel="0" collapsed="false">
      <c r="B22" s="55" t="s">
        <v>98</v>
      </c>
      <c r="C22" s="52" t="s">
        <v>99</v>
      </c>
      <c r="D22" s="52"/>
      <c r="E22" s="52"/>
      <c r="F22" s="52"/>
      <c r="G22" s="52"/>
      <c r="H22" s="52"/>
    </row>
    <row r="23" customFormat="false" ht="18" hidden="false" customHeight="true" outlineLevel="0" collapsed="false">
      <c r="B23" s="56" t="s">
        <v>100</v>
      </c>
      <c r="C23" s="52" t="s">
        <v>101</v>
      </c>
      <c r="D23" s="52"/>
      <c r="E23" s="52"/>
      <c r="F23" s="52"/>
      <c r="G23" s="52"/>
      <c r="H23" s="52"/>
    </row>
  </sheetData>
  <mergeCells count="24">
    <mergeCell ref="B2:H2"/>
    <mergeCell ref="B3:H3"/>
    <mergeCell ref="B5:D5"/>
    <mergeCell ref="F5:H5"/>
    <mergeCell ref="B6:D6"/>
    <mergeCell ref="F6:H6"/>
    <mergeCell ref="B8:D8"/>
    <mergeCell ref="F8:H8"/>
    <mergeCell ref="B9:D9"/>
    <mergeCell ref="F9:H9"/>
    <mergeCell ref="B11:D11"/>
    <mergeCell ref="F11:H11"/>
    <mergeCell ref="B12:D12"/>
    <mergeCell ref="F12:H12"/>
    <mergeCell ref="B14:D14"/>
    <mergeCell ref="F14:H14"/>
    <mergeCell ref="B15:D15"/>
    <mergeCell ref="F15:H15"/>
    <mergeCell ref="B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2026-04-29T07:53:27Z</dcterms:created>
  <dc:creator>openpyxl</dc:creator>
  <dc:description/>
  <dc:language>en-US</dc:language>
  <cp:lastModifiedBy/>
  <dcterms:modified xsi:type="dcterms:W3CDTF">2026-04-29T08:23:08Z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